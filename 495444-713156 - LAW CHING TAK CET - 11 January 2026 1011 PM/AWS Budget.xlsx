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D26FAA5A-88CE-4B8D-AF2C-FE3470B59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WS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G3" i="1"/>
  <c r="G5" i="1"/>
  <c r="G10" i="1"/>
  <c r="F3" i="1"/>
  <c r="F4" i="1"/>
  <c r="G4" i="1" s="1"/>
  <c r="F5" i="1"/>
  <c r="F6" i="1"/>
  <c r="G6" i="1" s="1"/>
  <c r="F7" i="1"/>
  <c r="G7" i="1" s="1"/>
  <c r="F8" i="1"/>
  <c r="G8" i="1" s="1"/>
  <c r="F9" i="1"/>
  <c r="G9" i="1" s="1"/>
  <c r="F2" i="1"/>
  <c r="G2" i="1" s="1"/>
  <c r="G11" i="1" s="1"/>
  <c r="F11" i="1" l="1"/>
</calcChain>
</file>

<file path=xl/sharedStrings.xml><?xml version="1.0" encoding="utf-8"?>
<sst xmlns="http://schemas.openxmlformats.org/spreadsheetml/2006/main" count="69" uniqueCount="56">
  <si>
    <t>Category</t>
  </si>
  <si>
    <t>Type</t>
  </si>
  <si>
    <t>Region</t>
  </si>
  <si>
    <t>Count</t>
  </si>
  <si>
    <t>Total cost</t>
  </si>
  <si>
    <t>Instance type</t>
  </si>
  <si>
    <t>Instance size</t>
  </si>
  <si>
    <t>Platform</t>
  </si>
  <si>
    <t>Role</t>
  </si>
  <si>
    <t>Engine</t>
  </si>
  <si>
    <t>Storage</t>
  </si>
  <si>
    <t>Data</t>
  </si>
  <si>
    <t>Snapshots</t>
  </si>
  <si>
    <t>Volume type</t>
  </si>
  <si>
    <t>IOPS</t>
  </si>
  <si>
    <t>Memory (MB)</t>
  </si>
  <si>
    <t>Requests (M)</t>
  </si>
  <si>
    <t>Seconds / req.</t>
  </si>
  <si>
    <t>Read units</t>
  </si>
  <si>
    <t>Write units</t>
  </si>
  <si>
    <t>Consistency</t>
  </si>
  <si>
    <t>Shards</t>
  </si>
  <si>
    <t>Put units</t>
  </si>
  <si>
    <t>Extended retention</t>
  </si>
  <si>
    <t>Emails (K)</t>
  </si>
  <si>
    <t>Requests (K)</t>
  </si>
  <si>
    <t>Notification count (K)</t>
  </si>
  <si>
    <t>Notification type</t>
  </si>
  <si>
    <t>Cache size (GB)</t>
  </si>
  <si>
    <t>API calls (M)</t>
  </si>
  <si>
    <t>Tier</t>
  </si>
  <si>
    <t>Instance</t>
  </si>
  <si>
    <t>compute</t>
  </si>
  <si>
    <t>ec2</t>
  </si>
  <si>
    <t>us-east-1</t>
  </si>
  <si>
    <t>t3</t>
  </si>
  <si>
    <t>micro</t>
  </si>
  <si>
    <t>linux</t>
  </si>
  <si>
    <t>lambda</t>
  </si>
  <si>
    <t>networking</t>
  </si>
  <si>
    <t>elb</t>
  </si>
  <si>
    <t>natgateway</t>
  </si>
  <si>
    <t>storage</t>
  </si>
  <si>
    <t>ebs</t>
  </si>
  <si>
    <t>gp2</t>
  </si>
  <si>
    <t>s3</t>
  </si>
  <si>
    <t>database</t>
  </si>
  <si>
    <t>rds</t>
  </si>
  <si>
    <t>primary</t>
  </si>
  <si>
    <t>mysql</t>
  </si>
  <si>
    <t>appservices</t>
  </si>
  <si>
    <t>eventbus</t>
  </si>
  <si>
    <t>lambda always free tier</t>
  </si>
  <si>
    <t>Unit price (Monthly)</t>
  </si>
  <si>
    <t>Unit price (Yearly)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</si>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</sst>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\-[$$-409]#,##0.00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286C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2.5703125" bestFit="1" customWidth="1"/>
    <col min="2" max="2" width="22.140625" bestFit="1" customWidth="1"/>
    <col min="3" max="3" width="10.85546875" bestFit="1" customWidth="1"/>
    <col min="4" max="4" width="12" customWidth="1"/>
    <col min="5" max="5" width="16.85546875" style="1" bestFit="1" customWidth="1"/>
    <col min="6" max="6" width="15.140625" style="1" bestFit="1" customWidth="1"/>
    <col min="7" max="7" width="16" style="1" customWidth="1"/>
    <col min="8" max="25" width="12" customWidth="1"/>
    <col min="26" max="26" width="18" customWidth="1"/>
    <col min="27" max="28" width="12" customWidth="1"/>
    <col min="29" max="29" width="18" customWidth="1"/>
    <col min="30" max="31" width="15" customWidth="1"/>
    <col min="32" max="34" width="12" customWidth="1"/>
  </cols>
  <sheetData>
    <row r="1" spans="1:34" s="2" customFormat="1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53</v>
      </c>
      <c r="F1" s="3" t="s">
        <v>54</v>
      </c>
      <c r="G1" s="3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x14ac:dyDescent="0.25">
      <c r="A2" t="s">
        <v>32</v>
      </c>
      <c r="B2" t="s">
        <v>33</v>
      </c>
      <c r="C2" t="s">
        <v>34</v>
      </c>
      <c r="D2">
        <v>2</v>
      </c>
      <c r="E2" s="1">
        <v>7.59</v>
      </c>
      <c r="F2" s="1">
        <f>E2*12</f>
        <v>91.08</v>
      </c>
      <c r="G2" s="1">
        <f>F2*D2</f>
        <v>182.16</v>
      </c>
      <c r="H2" t="s">
        <v>35</v>
      </c>
      <c r="I2" t="s">
        <v>36</v>
      </c>
      <c r="J2" t="s">
        <v>37</v>
      </c>
    </row>
    <row r="3" spans="1:34" x14ac:dyDescent="0.25">
      <c r="A3" t="s">
        <v>32</v>
      </c>
      <c r="B3" t="s">
        <v>38</v>
      </c>
      <c r="C3" t="s">
        <v>34</v>
      </c>
      <c r="D3">
        <v>1</v>
      </c>
      <c r="E3" s="1">
        <v>12.42</v>
      </c>
      <c r="F3" s="1">
        <f t="shared" ref="F3:F9" si="0">E3*12</f>
        <v>149.04</v>
      </c>
      <c r="G3" s="1">
        <f t="shared" ref="G3:G10" si="1">F3*D3</f>
        <v>149.04</v>
      </c>
      <c r="R3">
        <v>128</v>
      </c>
      <c r="S3">
        <v>10</v>
      </c>
      <c r="T3">
        <v>0.5</v>
      </c>
    </row>
    <row r="4" spans="1:34" x14ac:dyDescent="0.25">
      <c r="A4" t="s">
        <v>39</v>
      </c>
      <c r="B4" t="s">
        <v>40</v>
      </c>
      <c r="C4" t="s">
        <v>34</v>
      </c>
      <c r="D4">
        <v>2</v>
      </c>
      <c r="E4" s="1">
        <v>9.49</v>
      </c>
      <c r="F4" s="1">
        <f t="shared" si="0"/>
        <v>113.88</v>
      </c>
      <c r="G4" s="1">
        <f t="shared" si="1"/>
        <v>227.76</v>
      </c>
      <c r="N4">
        <v>10</v>
      </c>
    </row>
    <row r="5" spans="1:34" x14ac:dyDescent="0.25">
      <c r="A5" t="s">
        <v>39</v>
      </c>
      <c r="B5" t="s">
        <v>41</v>
      </c>
      <c r="C5" t="s">
        <v>34</v>
      </c>
      <c r="D5">
        <v>2</v>
      </c>
      <c r="E5" s="1">
        <v>33.299999999999997</v>
      </c>
      <c r="F5" s="1">
        <f t="shared" si="0"/>
        <v>399.59999999999997</v>
      </c>
      <c r="G5" s="1">
        <f t="shared" si="1"/>
        <v>799.19999999999993</v>
      </c>
      <c r="N5">
        <v>10</v>
      </c>
    </row>
    <row r="6" spans="1:34" x14ac:dyDescent="0.25">
      <c r="A6" t="s">
        <v>42</v>
      </c>
      <c r="B6" t="s">
        <v>43</v>
      </c>
      <c r="C6" t="s">
        <v>34</v>
      </c>
      <c r="D6">
        <v>2</v>
      </c>
      <c r="E6" s="1">
        <v>0.8</v>
      </c>
      <c r="F6" s="1">
        <f t="shared" si="0"/>
        <v>9.6000000000000014</v>
      </c>
      <c r="G6" s="1">
        <f t="shared" si="1"/>
        <v>19.200000000000003</v>
      </c>
      <c r="M6">
        <v>8</v>
      </c>
      <c r="O6">
        <v>0</v>
      </c>
      <c r="P6" t="s">
        <v>44</v>
      </c>
      <c r="Q6">
        <v>100</v>
      </c>
    </row>
    <row r="7" spans="1:34" x14ac:dyDescent="0.25">
      <c r="A7" t="s">
        <v>42</v>
      </c>
      <c r="B7" t="s">
        <v>45</v>
      </c>
      <c r="C7" t="s">
        <v>34</v>
      </c>
      <c r="D7">
        <v>1</v>
      </c>
      <c r="E7" s="1">
        <v>0.23</v>
      </c>
      <c r="F7" s="1">
        <f t="shared" si="0"/>
        <v>2.7600000000000002</v>
      </c>
      <c r="G7" s="1">
        <f t="shared" si="1"/>
        <v>2.7600000000000002</v>
      </c>
      <c r="N7">
        <v>10</v>
      </c>
    </row>
    <row r="8" spans="1:34" x14ac:dyDescent="0.25">
      <c r="A8" t="s">
        <v>46</v>
      </c>
      <c r="B8" t="s">
        <v>47</v>
      </c>
      <c r="C8" t="s">
        <v>34</v>
      </c>
      <c r="D8">
        <v>2</v>
      </c>
      <c r="E8" s="1">
        <v>24.82</v>
      </c>
      <c r="F8" s="1">
        <f t="shared" si="0"/>
        <v>297.84000000000003</v>
      </c>
      <c r="G8" s="1">
        <f t="shared" si="1"/>
        <v>595.68000000000006</v>
      </c>
      <c r="H8" t="s">
        <v>35</v>
      </c>
      <c r="I8" t="s">
        <v>36</v>
      </c>
      <c r="K8" t="s">
        <v>48</v>
      </c>
      <c r="L8" t="s">
        <v>49</v>
      </c>
    </row>
    <row r="9" spans="1:34" x14ac:dyDescent="0.25">
      <c r="A9" t="s">
        <v>50</v>
      </c>
      <c r="B9" t="s">
        <v>51</v>
      </c>
      <c r="C9" t="s">
        <v>34</v>
      </c>
      <c r="D9">
        <v>1</v>
      </c>
      <c r="E9" s="1">
        <v>0</v>
      </c>
      <c r="F9" s="1">
        <f t="shared" si="0"/>
        <v>0</v>
      </c>
      <c r="G9" s="1">
        <f t="shared" si="1"/>
        <v>0</v>
      </c>
    </row>
    <row r="10" spans="1:34" x14ac:dyDescent="0.25">
      <c r="A10" t="s">
        <v>32</v>
      </c>
      <c r="B10" t="s">
        <v>52</v>
      </c>
      <c r="G10" s="1">
        <f t="shared" si="1"/>
        <v>0</v>
      </c>
    </row>
    <row r="11" spans="1:34" x14ac:dyDescent="0.25">
      <c r="D11" s="1" t="s">
        <v>55</v>
      </c>
      <c r="E11" s="1">
        <f>SUM(E2:E10)</f>
        <v>88.649999999999991</v>
      </c>
      <c r="F11" s="1">
        <f>SUM(F2:F10)</f>
        <v>1063.8</v>
      </c>
      <c r="G11" s="1">
        <f>SUM(G2:G10)</f>
        <v>1975.8</v>
      </c>
    </row>
  </sheetData>
  <autoFilter ref="A1:C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Budget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2026-01-10T06:32:32Z</dcterms:created>
  <dcterms:modified xsi:type="dcterms:W3CDTF">2026-01-10T07:57:33Z</dcterms:modified>
  <cp:category/>
</cp:coreProperties>
</file>